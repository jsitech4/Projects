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FG-ELECTRICAL-ENGR\Documents\Galaxies\Resources\Personal Stuffs\Github\KiCad_Design\Projects\ESP32\Vibration_and_Temperature_Monitoring_System_for_Rotary_Equipment\production\bom\"/>
    </mc:Choice>
  </mc:AlternateContent>
  <xr:revisionPtr revIDLastSave="0" documentId="8_{C409A490-B625-4609-A885-84CB754C2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  <sheet name="Category Summary" sheetId="2" r:id="rId2"/>
  </sheets>
  <definedNames>
    <definedName name="_xlnm._FilterDatabase" localSheetId="0" hidden="1">BOM!$A$1:$H$48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2" i="2" l="1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H47" i="1"/>
  <c r="D5" i="2" s="1"/>
  <c r="H46" i="1"/>
  <c r="H45" i="1"/>
  <c r="H44" i="1"/>
  <c r="H43" i="1"/>
  <c r="H42" i="1"/>
  <c r="H41" i="1"/>
  <c r="D12" i="2" s="1"/>
  <c r="H40" i="1"/>
  <c r="H39" i="1"/>
  <c r="H38" i="1"/>
  <c r="H37" i="1"/>
  <c r="H36" i="1"/>
  <c r="H35" i="1"/>
  <c r="H34" i="1"/>
  <c r="H33" i="1"/>
  <c r="D14" i="2" s="1"/>
  <c r="H32" i="1"/>
  <c r="D9" i="2" s="1"/>
  <c r="H31" i="1"/>
  <c r="D8" i="2" s="1"/>
  <c r="H30" i="1"/>
  <c r="D10" i="2" s="1"/>
  <c r="H29" i="1"/>
  <c r="H28" i="1"/>
  <c r="H27" i="1"/>
  <c r="H26" i="1"/>
  <c r="H25" i="1"/>
  <c r="H24" i="1"/>
  <c r="H23" i="1"/>
  <c r="H22" i="1"/>
  <c r="H21" i="1"/>
  <c r="D6" i="2" l="1"/>
  <c r="D11" i="2"/>
  <c r="B15" i="2"/>
  <c r="C15" i="2"/>
  <c r="D3" i="2"/>
  <c r="D4" i="2"/>
  <c r="D13" i="2"/>
  <c r="D7" i="2"/>
  <c r="H48" i="1"/>
  <c r="D15" i="2" l="1"/>
</calcChain>
</file>

<file path=xl/sharedStrings.xml><?xml version="1.0" encoding="utf-8"?>
<sst xmlns="http://schemas.openxmlformats.org/spreadsheetml/2006/main" count="251" uniqueCount="148">
  <si>
    <t>Category</t>
  </si>
  <si>
    <t>Component Name</t>
  </si>
  <si>
    <t>Qty</t>
  </si>
  <si>
    <t>Price per Unit (₦)</t>
  </si>
  <si>
    <t>Total (₦)</t>
  </si>
  <si>
    <t>Reference</t>
  </si>
  <si>
    <t>Value / Part No.</t>
  </si>
  <si>
    <t>Footprint</t>
  </si>
  <si>
    <t>Buzzer</t>
  </si>
  <si>
    <t>BZ1</t>
  </si>
  <si>
    <t>Buzzer_Beeper:Buzzer_15x7.5RM7.6</t>
  </si>
  <si>
    <t>Capacitor</t>
  </si>
  <si>
    <t>100nF</t>
  </si>
  <si>
    <t>C2,C11,C12,C19,C20,C23,C24</t>
  </si>
  <si>
    <t>Capacitor_SMD:C_0805_2012Metric_Pad1.18x1.45mm_HandSolder</t>
  </si>
  <si>
    <t>104</t>
  </si>
  <si>
    <t>C6</t>
  </si>
  <si>
    <t>Capacitor_SMD:C_0805_2012Metric</t>
  </si>
  <si>
    <t>145J400V</t>
  </si>
  <si>
    <t>C7</t>
  </si>
  <si>
    <t>Capacitor_THT:C_Rect_L19.0mm_W6.0mm_P15.00mm_MKS4</t>
  </si>
  <si>
    <t>4.7uF/16V</t>
  </si>
  <si>
    <t>C8,C13,C25</t>
  </si>
  <si>
    <t>Capacitor_Tantalum_SMD:CP_EIA-3528-21_Kemet-B_HandSolder</t>
  </si>
  <si>
    <t>10uF_16V</t>
  </si>
  <si>
    <t>C9</t>
  </si>
  <si>
    <t>Capacitor_THT:CP_Radial_D5.0mm_P2.00mm</t>
  </si>
  <si>
    <t>470nF</t>
  </si>
  <si>
    <t>C10</t>
  </si>
  <si>
    <t>470uF/25V</t>
  </si>
  <si>
    <t>C14</t>
  </si>
  <si>
    <t>Capacitor_SMD:CP_Elec_8x11.9</t>
  </si>
  <si>
    <t>680uF_35V</t>
  </si>
  <si>
    <t>C15,C16</t>
  </si>
  <si>
    <t>Capacitor_SMD:CP_Elec_10x12.5</t>
  </si>
  <si>
    <t>22pF</t>
  </si>
  <si>
    <t>C17,C18</t>
  </si>
  <si>
    <t>220uF_16V</t>
  </si>
  <si>
    <t>C21,C22</t>
  </si>
  <si>
    <t>Capacitor_SMD:CP_Elec_6.3x7.7</t>
  </si>
  <si>
    <t>Diode / LED</t>
  </si>
  <si>
    <t>1N4007</t>
  </si>
  <si>
    <t>D1</t>
  </si>
  <si>
    <t>Diode_SMD:D_SMA</t>
  </si>
  <si>
    <t>SM4001</t>
  </si>
  <si>
    <t>D2,D3,D5,D6</t>
  </si>
  <si>
    <t>Red</t>
  </si>
  <si>
    <t>D4,D10</t>
  </si>
  <si>
    <t>LED_THT:LED_D3.0mm</t>
  </si>
  <si>
    <t>1N5819</t>
  </si>
  <si>
    <t>D7,D9</t>
  </si>
  <si>
    <t>GBU8M</t>
  </si>
  <si>
    <t>D8</t>
  </si>
  <si>
    <t>Diode_THT:Diode_Bridge_Vishay_GBU</t>
  </si>
  <si>
    <t>Green</t>
  </si>
  <si>
    <t>D11</t>
  </si>
  <si>
    <t>1N5824</t>
  </si>
  <si>
    <t>D12,D13</t>
  </si>
  <si>
    <t>CMZ12</t>
  </si>
  <si>
    <t>DZ1</t>
  </si>
  <si>
    <t>Diode_SMD:D_SOD-123</t>
  </si>
  <si>
    <t>Connector / Terminal</t>
  </si>
  <si>
    <t>Screw_Terminal_01x03</t>
  </si>
  <si>
    <t>J1</t>
  </si>
  <si>
    <t>Screw_Terminal_01x08</t>
  </si>
  <si>
    <t>J2</t>
  </si>
  <si>
    <t>OLED SCREEN</t>
  </si>
  <si>
    <t>J3</t>
  </si>
  <si>
    <t>LOAD</t>
  </si>
  <si>
    <t>J4</t>
  </si>
  <si>
    <t>TerminalBlock_Phoenix:TerminalBlock_Phoenix_MKDS-1,5-2_1x02_P5.00mm_Horizontal</t>
  </si>
  <si>
    <t>220VAC</t>
  </si>
  <si>
    <t>J5</t>
  </si>
  <si>
    <t>MPU6050</t>
  </si>
  <si>
    <t>J6,J10</t>
  </si>
  <si>
    <t>Connector_PinHeader_2.54mm:PinHeader_1x08_P2.54mm_Vertical</t>
  </si>
  <si>
    <t>USB_C Conn</t>
  </si>
  <si>
    <t>J8</t>
  </si>
  <si>
    <t>Connector_PinHeader_2.54mm:PinHeader_1x04_P2.54mm_Vertical</t>
  </si>
  <si>
    <t>12VAC</t>
  </si>
  <si>
    <t>J9</t>
  </si>
  <si>
    <t>JP1</t>
  </si>
  <si>
    <t>Jumper:SolderJumper-2_P1.3mm_Open_Pad1.0x1.5mm</t>
  </si>
  <si>
    <t>Relay</t>
  </si>
  <si>
    <t>FINDER-36.11</t>
  </si>
  <si>
    <t>K1</t>
  </si>
  <si>
    <t>Relay_THT:Relay_SPDT_Finder_36.11</t>
  </si>
  <si>
    <t>Inductor</t>
  </si>
  <si>
    <t>33uH</t>
  </si>
  <si>
    <t>L1,L2</t>
  </si>
  <si>
    <t>Inductor_SMD:L_12x12mm_H6mm</t>
  </si>
  <si>
    <t>Optocoupler</t>
  </si>
  <si>
    <t>PC817XI</t>
  </si>
  <si>
    <t>OC1,OC2</t>
  </si>
  <si>
    <t>Package_DIP:DIP-4_W7.62mm_SMDSocket_SmallPads</t>
  </si>
  <si>
    <t>Transistor</t>
  </si>
  <si>
    <t>UMH3N</t>
  </si>
  <si>
    <t>Q1</t>
  </si>
  <si>
    <t>Package_TO_SOT_SMD:SOT-363_SC-70-6</t>
  </si>
  <si>
    <t>Resistor</t>
  </si>
  <si>
    <t>10k</t>
  </si>
  <si>
    <t>R1,R5,R6,R7,R8,R9,R13,R14</t>
  </si>
  <si>
    <t>Resistor_SMD:R_0805_2012Metric</t>
  </si>
  <si>
    <t>1M</t>
  </si>
  <si>
    <t>R10</t>
  </si>
  <si>
    <t>Resistor_THT:R_Axial_DIN0207_L6.3mm_D2.5mm_P7.62mm_Horizontal</t>
  </si>
  <si>
    <t>330R/2W</t>
  </si>
  <si>
    <t>R11</t>
  </si>
  <si>
    <t>Resistor_THT:R_Axial_DIN0309_L9.0mm_D3.2mm_P20.32mm_Horizontal</t>
  </si>
  <si>
    <t>330R</t>
  </si>
  <si>
    <t>R12,R15,R16</t>
  </si>
  <si>
    <t>Switch / Encoder</t>
  </si>
  <si>
    <t>RotaryEncoder</t>
  </si>
  <si>
    <t>SW1</t>
  </si>
  <si>
    <t>Connector_PinHeader_2.54mm:PinHeader_1x06_P2.54mm_Vertical</t>
  </si>
  <si>
    <t>RESET</t>
  </si>
  <si>
    <t>SW2</t>
  </si>
  <si>
    <t>Button_Switch_SMD:SW_SPST_CK_KXT3</t>
  </si>
  <si>
    <t>FLASH</t>
  </si>
  <si>
    <t>SW3</t>
  </si>
  <si>
    <t>Sensor</t>
  </si>
  <si>
    <t>PT100</t>
  </si>
  <si>
    <t>TH1</t>
  </si>
  <si>
    <t>IC / Module</t>
  </si>
  <si>
    <t>AMS1117-3.3</t>
  </si>
  <si>
    <t>U1</t>
  </si>
  <si>
    <t>Package_TO_SOT_SMD:SOT-223-3_TabPin2</t>
  </si>
  <si>
    <t>ESP32-S3-WROOM-1U-N16R8</t>
  </si>
  <si>
    <t>U2</t>
  </si>
  <si>
    <t>footprints:ESP32-S3-WROOM-1U-N16R8</t>
  </si>
  <si>
    <t>LM2596S-3.3V</t>
  </si>
  <si>
    <t>U3</t>
  </si>
  <si>
    <t>Package_TO_SOT_SMD:TO-263-5_TabPin6</t>
  </si>
  <si>
    <t>LM2596S-5V</t>
  </si>
  <si>
    <t>U4</t>
  </si>
  <si>
    <t>CH340C</t>
  </si>
  <si>
    <t>U5</t>
  </si>
  <si>
    <t>Package_SO:SOIC-16_3.9x9.9mm_P1.27mm</t>
  </si>
  <si>
    <t>Crystal / Oscillator</t>
  </si>
  <si>
    <t>12MHz</t>
  </si>
  <si>
    <t>Y1</t>
  </si>
  <si>
    <t>Crystal:Crystal_HC49-4H_Vertical</t>
  </si>
  <si>
    <t>GRAND TOTAL</t>
  </si>
  <si>
    <t>Component Lines</t>
  </si>
  <si>
    <t>Total Quantity</t>
  </si>
  <si>
    <t>Category Cost (₦)</t>
  </si>
  <si>
    <t>Diode</t>
  </si>
  <si>
    <t>LCD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</si>
</sst>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₦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1" fillId="4" borderId="0" xfId="0" applyFont="1" applyFill="1" applyAlignment="1">
      <alignment horizontal="center"/>
    </xf>
    <xf numFmtId="164" fontId="0" fillId="0" borderId="0" xfId="0" applyNumberFormat="1"/>
    <xf numFmtId="0" fontId="2" fillId="5" borderId="0" xfId="0" applyFont="1" applyFill="1"/>
    <xf numFmtId="164" fontId="2" fillId="5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Normal="100" workbookViewId="0">
      <pane ySplit="1" topLeftCell="A6" activePane="bottomLeft" state="frozen"/>
      <selection pane="bottomLeft" activeCell="L24" sqref="L24"/>
    </sheetView>
  </sheetViews>
  <sheetFormatPr defaultRowHeight="15" x14ac:dyDescent="0.25"/>
  <cols>
    <col min="1" max="1" width="22" customWidth="1"/>
    <col min="2" max="2" width="25.140625" customWidth="1"/>
    <col min="3" max="4" width="28" customWidth="1"/>
    <col min="5" max="5" width="58" customWidth="1"/>
    <col min="6" max="6" width="10" customWidth="1"/>
    <col min="7" max="7" width="19.4257812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6</v>
      </c>
      <c r="D1" s="1" t="s">
        <v>5</v>
      </c>
      <c r="E1" s="1" t="s">
        <v>7</v>
      </c>
      <c r="F1" s="1" t="s">
        <v>2</v>
      </c>
      <c r="G1" s="1" t="s">
        <v>3</v>
      </c>
      <c r="H1" s="1" t="s">
        <v>4</v>
      </c>
    </row>
    <row r="2" spans="1:8" x14ac:dyDescent="0.25">
      <c r="A2" s="2" t="s">
        <v>8</v>
      </c>
      <c r="B2" s="2" t="s">
        <v>8</v>
      </c>
      <c r="C2" s="2" t="s">
        <v>8</v>
      </c>
      <c r="D2" s="2" t="s">
        <v>9</v>
      </c>
      <c r="E2" s="2" t="s">
        <v>10</v>
      </c>
      <c r="F2" s="3">
        <v>1</v>
      </c>
      <c r="G2" s="4">
        <v>600</v>
      </c>
      <c r="H2" s="4">
        <f>F2*G2</f>
        <v>600</v>
      </c>
    </row>
    <row r="3" spans="1:8" ht="30" x14ac:dyDescent="0.25">
      <c r="A3" s="2" t="s">
        <v>11</v>
      </c>
      <c r="B3" s="2" t="s">
        <v>12</v>
      </c>
      <c r="C3" s="2" t="s">
        <v>12</v>
      </c>
      <c r="D3" s="2" t="s">
        <v>13</v>
      </c>
      <c r="E3" s="2" t="s">
        <v>14</v>
      </c>
      <c r="F3" s="3">
        <v>7</v>
      </c>
      <c r="G3" s="4">
        <v>200</v>
      </c>
      <c r="H3" s="4">
        <f>F3*G3</f>
        <v>1400</v>
      </c>
    </row>
    <row r="4" spans="1:8" x14ac:dyDescent="0.25">
      <c r="A4" s="2" t="s">
        <v>11</v>
      </c>
      <c r="B4" s="2" t="s">
        <v>15</v>
      </c>
      <c r="C4" s="2" t="s">
        <v>15</v>
      </c>
      <c r="D4" s="2" t="s">
        <v>16</v>
      </c>
      <c r="E4" s="2" t="s">
        <v>17</v>
      </c>
      <c r="F4" s="3">
        <v>1</v>
      </c>
      <c r="G4" s="4">
        <v>200</v>
      </c>
      <c r="H4" s="4">
        <f>F4*G4</f>
        <v>200</v>
      </c>
    </row>
    <row r="5" spans="1:8" x14ac:dyDescent="0.25">
      <c r="A5" s="2" t="s">
        <v>11</v>
      </c>
      <c r="B5" s="2" t="s">
        <v>18</v>
      </c>
      <c r="C5" s="2" t="s">
        <v>18</v>
      </c>
      <c r="D5" s="2" t="s">
        <v>19</v>
      </c>
      <c r="E5" s="2" t="s">
        <v>20</v>
      </c>
      <c r="F5" s="3">
        <v>1</v>
      </c>
      <c r="G5" s="4">
        <v>500</v>
      </c>
      <c r="H5" s="4">
        <f>F5*G5</f>
        <v>500</v>
      </c>
    </row>
    <row r="6" spans="1:8" ht="30" x14ac:dyDescent="0.25">
      <c r="A6" s="2" t="s">
        <v>11</v>
      </c>
      <c r="B6" s="2" t="s">
        <v>21</v>
      </c>
      <c r="C6" s="2" t="s">
        <v>21</v>
      </c>
      <c r="D6" s="2" t="s">
        <v>22</v>
      </c>
      <c r="E6" s="2" t="s">
        <v>23</v>
      </c>
      <c r="F6" s="3">
        <v>3</v>
      </c>
      <c r="G6" s="4">
        <v>300</v>
      </c>
      <c r="H6" s="4">
        <f>F6*G6</f>
        <v>900</v>
      </c>
    </row>
    <row r="7" spans="1:8" x14ac:dyDescent="0.25">
      <c r="A7" s="2" t="s">
        <v>11</v>
      </c>
      <c r="B7" s="2" t="s">
        <v>24</v>
      </c>
      <c r="C7" s="2" t="s">
        <v>24</v>
      </c>
      <c r="D7" s="2" t="s">
        <v>25</v>
      </c>
      <c r="E7" s="2" t="s">
        <v>26</v>
      </c>
      <c r="F7" s="3">
        <v>1</v>
      </c>
      <c r="G7" s="4">
        <v>300</v>
      </c>
      <c r="H7" s="4">
        <f>F7*G7</f>
        <v>300</v>
      </c>
    </row>
    <row r="8" spans="1:8" ht="30" x14ac:dyDescent="0.25">
      <c r="A8" s="2" t="s">
        <v>11</v>
      </c>
      <c r="B8" s="2" t="s">
        <v>27</v>
      </c>
      <c r="C8" s="2" t="s">
        <v>27</v>
      </c>
      <c r="D8" s="2" t="s">
        <v>28</v>
      </c>
      <c r="E8" s="2" t="s">
        <v>14</v>
      </c>
      <c r="F8" s="3">
        <v>1</v>
      </c>
      <c r="G8" s="4">
        <v>200</v>
      </c>
      <c r="H8" s="4">
        <f>F8*G8</f>
        <v>200</v>
      </c>
    </row>
    <row r="9" spans="1:8" x14ac:dyDescent="0.25">
      <c r="A9" s="2" t="s">
        <v>11</v>
      </c>
      <c r="B9" s="2" t="s">
        <v>29</v>
      </c>
      <c r="C9" s="2" t="s">
        <v>29</v>
      </c>
      <c r="D9" s="2" t="s">
        <v>30</v>
      </c>
      <c r="E9" s="2" t="s">
        <v>31</v>
      </c>
      <c r="F9" s="3">
        <v>1</v>
      </c>
      <c r="G9" s="4">
        <v>400</v>
      </c>
      <c r="H9" s="4">
        <f>F9*G9</f>
        <v>400</v>
      </c>
    </row>
    <row r="10" spans="1:8" x14ac:dyDescent="0.25">
      <c r="A10" s="2" t="s">
        <v>11</v>
      </c>
      <c r="B10" s="2" t="s">
        <v>32</v>
      </c>
      <c r="C10" s="2" t="s">
        <v>32</v>
      </c>
      <c r="D10" s="2" t="s">
        <v>33</v>
      </c>
      <c r="E10" s="2" t="s">
        <v>34</v>
      </c>
      <c r="F10" s="3">
        <v>2</v>
      </c>
      <c r="G10" s="4">
        <v>400</v>
      </c>
      <c r="H10" s="4">
        <f>F10*G10</f>
        <v>800</v>
      </c>
    </row>
    <row r="11" spans="1:8" ht="30" x14ac:dyDescent="0.25">
      <c r="A11" s="2" t="s">
        <v>11</v>
      </c>
      <c r="B11" s="2" t="s">
        <v>35</v>
      </c>
      <c r="C11" s="2" t="s">
        <v>35</v>
      </c>
      <c r="D11" s="2" t="s">
        <v>36</v>
      </c>
      <c r="E11" s="2" t="s">
        <v>14</v>
      </c>
      <c r="F11" s="3">
        <v>2</v>
      </c>
      <c r="G11" s="4">
        <v>200</v>
      </c>
      <c r="H11" s="4">
        <f>F11*G11</f>
        <v>400</v>
      </c>
    </row>
    <row r="12" spans="1:8" x14ac:dyDescent="0.25">
      <c r="A12" s="2" t="s">
        <v>11</v>
      </c>
      <c r="B12" s="2" t="s">
        <v>37</v>
      </c>
      <c r="C12" s="2" t="s">
        <v>37</v>
      </c>
      <c r="D12" s="2" t="s">
        <v>38</v>
      </c>
      <c r="E12" s="2" t="s">
        <v>39</v>
      </c>
      <c r="F12" s="3">
        <v>2</v>
      </c>
      <c r="G12" s="4">
        <v>300</v>
      </c>
      <c r="H12" s="4">
        <f>F12*G12</f>
        <v>600</v>
      </c>
    </row>
    <row r="13" spans="1:8" x14ac:dyDescent="0.25">
      <c r="A13" s="2" t="s">
        <v>146</v>
      </c>
      <c r="B13" s="2" t="s">
        <v>41</v>
      </c>
      <c r="C13" s="2" t="s">
        <v>41</v>
      </c>
      <c r="D13" s="2" t="s">
        <v>42</v>
      </c>
      <c r="E13" s="2" t="s">
        <v>43</v>
      </c>
      <c r="F13" s="3">
        <v>1</v>
      </c>
      <c r="G13" s="4">
        <v>100</v>
      </c>
      <c r="H13" s="4">
        <f>F13*G13</f>
        <v>100</v>
      </c>
    </row>
    <row r="14" spans="1:8" x14ac:dyDescent="0.25">
      <c r="A14" s="2" t="s">
        <v>146</v>
      </c>
      <c r="B14" s="2" t="s">
        <v>44</v>
      </c>
      <c r="C14" s="2" t="s">
        <v>44</v>
      </c>
      <c r="D14" s="2" t="s">
        <v>45</v>
      </c>
      <c r="E14" s="2" t="s">
        <v>43</v>
      </c>
      <c r="F14" s="3">
        <v>4</v>
      </c>
      <c r="G14" s="4">
        <v>100</v>
      </c>
      <c r="H14" s="4">
        <f>F14*G14</f>
        <v>400</v>
      </c>
    </row>
    <row r="15" spans="1:8" x14ac:dyDescent="0.25">
      <c r="A15" s="2" t="s">
        <v>40</v>
      </c>
      <c r="B15" s="2" t="s">
        <v>46</v>
      </c>
      <c r="C15" s="2" t="s">
        <v>46</v>
      </c>
      <c r="D15" s="2" t="s">
        <v>47</v>
      </c>
      <c r="E15" s="2" t="s">
        <v>48</v>
      </c>
      <c r="F15" s="3">
        <v>2</v>
      </c>
      <c r="G15" s="4">
        <v>50</v>
      </c>
      <c r="H15" s="4">
        <f>F15*G15</f>
        <v>100</v>
      </c>
    </row>
    <row r="16" spans="1:8" x14ac:dyDescent="0.25">
      <c r="A16" s="2" t="s">
        <v>146</v>
      </c>
      <c r="B16" s="2" t="s">
        <v>49</v>
      </c>
      <c r="C16" s="2" t="s">
        <v>49</v>
      </c>
      <c r="D16" s="2" t="s">
        <v>50</v>
      </c>
      <c r="E16" s="2" t="s">
        <v>43</v>
      </c>
      <c r="F16" s="3">
        <v>2</v>
      </c>
      <c r="G16" s="4">
        <v>100</v>
      </c>
      <c r="H16" s="4">
        <f>F16*G16</f>
        <v>200</v>
      </c>
    </row>
    <row r="17" spans="1:8" x14ac:dyDescent="0.25">
      <c r="A17" s="2" t="s">
        <v>146</v>
      </c>
      <c r="B17" s="2" t="s">
        <v>51</v>
      </c>
      <c r="C17" s="2" t="s">
        <v>51</v>
      </c>
      <c r="D17" s="2" t="s">
        <v>52</v>
      </c>
      <c r="E17" s="2" t="s">
        <v>53</v>
      </c>
      <c r="F17" s="3">
        <v>1</v>
      </c>
      <c r="G17" s="4">
        <v>400</v>
      </c>
      <c r="H17" s="4">
        <f>F17*G17</f>
        <v>400</v>
      </c>
    </row>
    <row r="18" spans="1:8" x14ac:dyDescent="0.25">
      <c r="A18" s="2" t="s">
        <v>40</v>
      </c>
      <c r="B18" s="2" t="s">
        <v>54</v>
      </c>
      <c r="C18" s="2" t="s">
        <v>54</v>
      </c>
      <c r="D18" s="2" t="s">
        <v>55</v>
      </c>
      <c r="E18" s="2" t="s">
        <v>48</v>
      </c>
      <c r="F18" s="3">
        <v>1</v>
      </c>
      <c r="G18" s="4">
        <v>50</v>
      </c>
      <c r="H18" s="4">
        <f>F18*G18</f>
        <v>50</v>
      </c>
    </row>
    <row r="19" spans="1:8" x14ac:dyDescent="0.25">
      <c r="A19" s="2" t="s">
        <v>146</v>
      </c>
      <c r="B19" s="2" t="s">
        <v>56</v>
      </c>
      <c r="C19" s="2" t="s">
        <v>56</v>
      </c>
      <c r="D19" s="2" t="s">
        <v>57</v>
      </c>
      <c r="E19" s="2" t="s">
        <v>43</v>
      </c>
      <c r="F19" s="3">
        <v>2</v>
      </c>
      <c r="G19" s="4">
        <v>100</v>
      </c>
      <c r="H19" s="4">
        <f>F19*G19</f>
        <v>200</v>
      </c>
    </row>
    <row r="20" spans="1:8" x14ac:dyDescent="0.25">
      <c r="A20" s="2" t="s">
        <v>146</v>
      </c>
      <c r="B20" s="2" t="s">
        <v>58</v>
      </c>
      <c r="C20" s="2" t="s">
        <v>58</v>
      </c>
      <c r="D20" s="2" t="s">
        <v>59</v>
      </c>
      <c r="E20" s="2" t="s">
        <v>60</v>
      </c>
      <c r="F20" s="3">
        <v>1</v>
      </c>
      <c r="G20" s="4">
        <v>100</v>
      </c>
      <c r="H20" s="4">
        <f>F20*G20</f>
        <v>100</v>
      </c>
    </row>
    <row r="21" spans="1:8" x14ac:dyDescent="0.25">
      <c r="A21" s="2" t="s">
        <v>61</v>
      </c>
      <c r="B21" s="2" t="s">
        <v>62</v>
      </c>
      <c r="C21" s="2" t="s">
        <v>62</v>
      </c>
      <c r="D21" s="2" t="s">
        <v>63</v>
      </c>
      <c r="E21" s="2"/>
      <c r="F21" s="3">
        <v>1</v>
      </c>
      <c r="G21" s="4">
        <v>400</v>
      </c>
      <c r="H21" s="4">
        <f>IF(OR(F18="",G18=""),"",F18*G18)</f>
        <v>50</v>
      </c>
    </row>
    <row r="22" spans="1:8" x14ac:dyDescent="0.25">
      <c r="A22" s="2" t="s">
        <v>61</v>
      </c>
      <c r="B22" s="2" t="s">
        <v>64</v>
      </c>
      <c r="C22" s="2" t="s">
        <v>64</v>
      </c>
      <c r="D22" s="2" t="s">
        <v>65</v>
      </c>
      <c r="E22" s="2"/>
      <c r="F22" s="3">
        <v>1</v>
      </c>
      <c r="G22" s="4">
        <v>600</v>
      </c>
      <c r="H22" s="4">
        <f>IF(OR(F19="",G19=""),"",F19*G19)</f>
        <v>200</v>
      </c>
    </row>
    <row r="23" spans="1:8" x14ac:dyDescent="0.25">
      <c r="A23" s="2" t="s">
        <v>147</v>
      </c>
      <c r="B23" s="2" t="s">
        <v>147</v>
      </c>
      <c r="C23" s="2" t="s">
        <v>66</v>
      </c>
      <c r="D23" s="2" t="s">
        <v>67</v>
      </c>
      <c r="E23" s="2"/>
      <c r="F23" s="3">
        <v>1</v>
      </c>
      <c r="G23" s="4"/>
      <c r="H23" s="4">
        <f>IF(OR(F20="",G20=""),"",F20*G20)</f>
        <v>100</v>
      </c>
    </row>
    <row r="24" spans="1:8" ht="30" x14ac:dyDescent="0.25">
      <c r="A24" s="2" t="s">
        <v>61</v>
      </c>
      <c r="B24" s="2" t="s">
        <v>68</v>
      </c>
      <c r="C24" s="2" t="s">
        <v>68</v>
      </c>
      <c r="D24" s="2" t="s">
        <v>69</v>
      </c>
      <c r="E24" s="2" t="s">
        <v>70</v>
      </c>
      <c r="F24" s="3">
        <v>1</v>
      </c>
      <c r="G24" s="4"/>
      <c r="H24" s="4">
        <f>IF(OR(F21="",G21=""),"",F21*G21)</f>
        <v>400</v>
      </c>
    </row>
    <row r="25" spans="1:8" ht="30" x14ac:dyDescent="0.25">
      <c r="A25" s="2" t="s">
        <v>61</v>
      </c>
      <c r="B25" s="2" t="s">
        <v>71</v>
      </c>
      <c r="C25" s="2" t="s">
        <v>71</v>
      </c>
      <c r="D25" s="2" t="s">
        <v>72</v>
      </c>
      <c r="E25" s="2" t="s">
        <v>70</v>
      </c>
      <c r="F25" s="3">
        <v>1</v>
      </c>
      <c r="G25" s="4"/>
      <c r="H25" s="4">
        <f>IF(OR(F22="",G22=""),"",F22*G22)</f>
        <v>600</v>
      </c>
    </row>
    <row r="26" spans="1:8" ht="30" x14ac:dyDescent="0.25">
      <c r="A26" s="2" t="s">
        <v>61</v>
      </c>
      <c r="B26" s="2" t="s">
        <v>73</v>
      </c>
      <c r="C26" s="2" t="s">
        <v>73</v>
      </c>
      <c r="D26" s="2" t="s">
        <v>74</v>
      </c>
      <c r="E26" s="2" t="s">
        <v>75</v>
      </c>
      <c r="F26" s="3">
        <v>2</v>
      </c>
      <c r="G26" s="4"/>
      <c r="H26" s="4" t="str">
        <f>IF(OR(F23="",G23=""),"",F23*G23)</f>
        <v/>
      </c>
    </row>
    <row r="27" spans="1:8" ht="30" x14ac:dyDescent="0.25">
      <c r="A27" s="2" t="s">
        <v>61</v>
      </c>
      <c r="B27" s="2" t="s">
        <v>76</v>
      </c>
      <c r="C27" s="2" t="s">
        <v>76</v>
      </c>
      <c r="D27" s="2" t="s">
        <v>77</v>
      </c>
      <c r="E27" s="2" t="s">
        <v>78</v>
      </c>
      <c r="F27" s="3">
        <v>1</v>
      </c>
      <c r="G27" s="4"/>
      <c r="H27" s="4" t="str">
        <f>IF(OR(F24="",G24=""),"",F24*G24)</f>
        <v/>
      </c>
    </row>
    <row r="28" spans="1:8" ht="30" x14ac:dyDescent="0.25">
      <c r="A28" s="2" t="s">
        <v>61</v>
      </c>
      <c r="B28" s="2" t="s">
        <v>79</v>
      </c>
      <c r="C28" s="2" t="s">
        <v>79</v>
      </c>
      <c r="D28" s="2" t="s">
        <v>80</v>
      </c>
      <c r="E28" s="2" t="s">
        <v>70</v>
      </c>
      <c r="F28" s="3">
        <v>1</v>
      </c>
      <c r="G28" s="4"/>
      <c r="H28" s="4" t="str">
        <f>IF(OR(F25="",G25=""),"",F25*G25)</f>
        <v/>
      </c>
    </row>
    <row r="29" spans="1:8" x14ac:dyDescent="0.25">
      <c r="A29" s="2" t="s">
        <v>61</v>
      </c>
      <c r="B29" s="2"/>
      <c r="C29" s="2"/>
      <c r="D29" s="2" t="s">
        <v>81</v>
      </c>
      <c r="E29" s="2" t="s">
        <v>82</v>
      </c>
      <c r="F29" s="3">
        <v>1</v>
      </c>
      <c r="G29" s="4"/>
      <c r="H29" s="4" t="str">
        <f>IF(OR(F26="",G26=""),"",F26*G26)</f>
        <v/>
      </c>
    </row>
    <row r="30" spans="1:8" x14ac:dyDescent="0.25">
      <c r="A30" s="2" t="s">
        <v>83</v>
      </c>
      <c r="B30" s="2" t="s">
        <v>84</v>
      </c>
      <c r="C30" s="2" t="s">
        <v>84</v>
      </c>
      <c r="D30" s="2" t="s">
        <v>85</v>
      </c>
      <c r="E30" s="2" t="s">
        <v>86</v>
      </c>
      <c r="F30" s="3">
        <v>1</v>
      </c>
      <c r="G30" s="4"/>
      <c r="H30" s="4" t="str">
        <f>IF(OR(F27="",G27=""),"",F27*G27)</f>
        <v/>
      </c>
    </row>
    <row r="31" spans="1:8" x14ac:dyDescent="0.25">
      <c r="A31" s="2" t="s">
        <v>87</v>
      </c>
      <c r="B31" s="2" t="s">
        <v>88</v>
      </c>
      <c r="C31" s="2" t="s">
        <v>88</v>
      </c>
      <c r="D31" s="2" t="s">
        <v>89</v>
      </c>
      <c r="E31" s="2" t="s">
        <v>90</v>
      </c>
      <c r="F31" s="3">
        <v>2</v>
      </c>
      <c r="G31" s="4"/>
      <c r="H31" s="4" t="str">
        <f>IF(OR(F28="",G28=""),"",F28*G28)</f>
        <v/>
      </c>
    </row>
    <row r="32" spans="1:8" x14ac:dyDescent="0.25">
      <c r="A32" s="2" t="s">
        <v>91</v>
      </c>
      <c r="B32" s="2" t="s">
        <v>92</v>
      </c>
      <c r="C32" s="2" t="s">
        <v>92</v>
      </c>
      <c r="D32" s="2" t="s">
        <v>93</v>
      </c>
      <c r="E32" s="2" t="s">
        <v>94</v>
      </c>
      <c r="F32" s="3">
        <v>2</v>
      </c>
      <c r="G32" s="4"/>
      <c r="H32" s="4" t="str">
        <f>IF(OR(F29="",G29=""),"",F29*G29)</f>
        <v/>
      </c>
    </row>
    <row r="33" spans="1:8" x14ac:dyDescent="0.25">
      <c r="A33" s="2" t="s">
        <v>95</v>
      </c>
      <c r="B33" s="2" t="s">
        <v>96</v>
      </c>
      <c r="C33" s="2" t="s">
        <v>96</v>
      </c>
      <c r="D33" s="2" t="s">
        <v>97</v>
      </c>
      <c r="E33" s="2" t="s">
        <v>98</v>
      </c>
      <c r="F33" s="3">
        <v>1</v>
      </c>
      <c r="G33" s="4"/>
      <c r="H33" s="4" t="str">
        <f>IF(OR(F30="",G30=""),"",F30*G30)</f>
        <v/>
      </c>
    </row>
    <row r="34" spans="1:8" x14ac:dyDescent="0.25">
      <c r="A34" s="2" t="s">
        <v>99</v>
      </c>
      <c r="B34" s="2" t="s">
        <v>100</v>
      </c>
      <c r="C34" s="2" t="s">
        <v>100</v>
      </c>
      <c r="D34" s="2" t="s">
        <v>101</v>
      </c>
      <c r="E34" s="2" t="s">
        <v>102</v>
      </c>
      <c r="F34" s="3">
        <v>8</v>
      </c>
      <c r="G34" s="4"/>
      <c r="H34" s="4" t="str">
        <f>IF(OR(F31="",G31=""),"",F31*G31)</f>
        <v/>
      </c>
    </row>
    <row r="35" spans="1:8" ht="30" x14ac:dyDescent="0.25">
      <c r="A35" s="2" t="s">
        <v>99</v>
      </c>
      <c r="B35" s="2" t="s">
        <v>103</v>
      </c>
      <c r="C35" s="2" t="s">
        <v>103</v>
      </c>
      <c r="D35" s="2" t="s">
        <v>104</v>
      </c>
      <c r="E35" s="2" t="s">
        <v>105</v>
      </c>
      <c r="F35" s="3">
        <v>1</v>
      </c>
      <c r="G35" s="4"/>
      <c r="H35" s="4" t="str">
        <f>IF(OR(F32="",G32=""),"",F32*G32)</f>
        <v/>
      </c>
    </row>
    <row r="36" spans="1:8" ht="30" x14ac:dyDescent="0.25">
      <c r="A36" s="2" t="s">
        <v>99</v>
      </c>
      <c r="B36" s="2" t="s">
        <v>106</v>
      </c>
      <c r="C36" s="2" t="s">
        <v>106</v>
      </c>
      <c r="D36" s="2" t="s">
        <v>107</v>
      </c>
      <c r="E36" s="2" t="s">
        <v>108</v>
      </c>
      <c r="F36" s="3">
        <v>1</v>
      </c>
      <c r="G36" s="4"/>
      <c r="H36" s="4" t="str">
        <f>IF(OR(F33="",G33=""),"",F33*G33)</f>
        <v/>
      </c>
    </row>
    <row r="37" spans="1:8" x14ac:dyDescent="0.25">
      <c r="A37" s="2" t="s">
        <v>99</v>
      </c>
      <c r="B37" s="2" t="s">
        <v>109</v>
      </c>
      <c r="C37" s="2" t="s">
        <v>109</v>
      </c>
      <c r="D37" s="2" t="s">
        <v>110</v>
      </c>
      <c r="E37" s="2" t="s">
        <v>102</v>
      </c>
      <c r="F37" s="3">
        <v>3</v>
      </c>
      <c r="G37" s="4"/>
      <c r="H37" s="4" t="str">
        <f>IF(OR(F34="",G34=""),"",F34*G34)</f>
        <v/>
      </c>
    </row>
    <row r="38" spans="1:8" ht="30" x14ac:dyDescent="0.25">
      <c r="A38" s="2" t="s">
        <v>111</v>
      </c>
      <c r="B38" s="2" t="s">
        <v>112</v>
      </c>
      <c r="C38" s="2" t="s">
        <v>112</v>
      </c>
      <c r="D38" s="2" t="s">
        <v>113</v>
      </c>
      <c r="E38" s="2" t="s">
        <v>114</v>
      </c>
      <c r="F38" s="3">
        <v>1</v>
      </c>
      <c r="G38" s="4"/>
      <c r="H38" s="4" t="str">
        <f>IF(OR(F35="",G35=""),"",F35*G35)</f>
        <v/>
      </c>
    </row>
    <row r="39" spans="1:8" x14ac:dyDescent="0.25">
      <c r="A39" s="2" t="s">
        <v>111</v>
      </c>
      <c r="B39" s="2" t="s">
        <v>115</v>
      </c>
      <c r="C39" s="2" t="s">
        <v>115</v>
      </c>
      <c r="D39" s="2" t="s">
        <v>116</v>
      </c>
      <c r="E39" s="2" t="s">
        <v>117</v>
      </c>
      <c r="F39" s="3">
        <v>1</v>
      </c>
      <c r="G39" s="4"/>
      <c r="H39" s="4" t="str">
        <f>IF(OR(F36="",G36=""),"",F36*G36)</f>
        <v/>
      </c>
    </row>
    <row r="40" spans="1:8" x14ac:dyDescent="0.25">
      <c r="A40" s="2" t="s">
        <v>111</v>
      </c>
      <c r="B40" s="2" t="s">
        <v>118</v>
      </c>
      <c r="C40" s="2" t="s">
        <v>118</v>
      </c>
      <c r="D40" s="2" t="s">
        <v>119</v>
      </c>
      <c r="E40" s="2" t="s">
        <v>117</v>
      </c>
      <c r="F40" s="3">
        <v>1</v>
      </c>
      <c r="G40" s="4"/>
      <c r="H40" s="4" t="str">
        <f>IF(OR(F37="",G37=""),"",F37*G37)</f>
        <v/>
      </c>
    </row>
    <row r="41" spans="1:8" x14ac:dyDescent="0.25">
      <c r="A41" s="2" t="s">
        <v>120</v>
      </c>
      <c r="B41" s="2" t="s">
        <v>121</v>
      </c>
      <c r="C41" s="2" t="s">
        <v>121</v>
      </c>
      <c r="D41" s="2" t="s">
        <v>122</v>
      </c>
      <c r="E41" s="2"/>
      <c r="F41" s="3">
        <v>1</v>
      </c>
      <c r="G41" s="4"/>
      <c r="H41" s="4" t="str">
        <f>IF(OR(F38="",G38=""),"",F38*G38)</f>
        <v/>
      </c>
    </row>
    <row r="42" spans="1:8" x14ac:dyDescent="0.25">
      <c r="A42" s="2" t="s">
        <v>123</v>
      </c>
      <c r="B42" s="2" t="s">
        <v>124</v>
      </c>
      <c r="C42" s="2" t="s">
        <v>124</v>
      </c>
      <c r="D42" s="2" t="s">
        <v>125</v>
      </c>
      <c r="E42" s="2" t="s">
        <v>126</v>
      </c>
      <c r="F42" s="3">
        <v>1</v>
      </c>
      <c r="G42" s="4"/>
      <c r="H42" s="4" t="str">
        <f>IF(OR(F39="",G39=""),"",F39*G39)</f>
        <v/>
      </c>
    </row>
    <row r="43" spans="1:8" ht="30" x14ac:dyDescent="0.25">
      <c r="A43" s="2" t="s">
        <v>123</v>
      </c>
      <c r="B43" s="2" t="s">
        <v>127</v>
      </c>
      <c r="C43" s="2" t="s">
        <v>127</v>
      </c>
      <c r="D43" s="2" t="s">
        <v>128</v>
      </c>
      <c r="E43" s="2" t="s">
        <v>129</v>
      </c>
      <c r="F43" s="3">
        <v>1</v>
      </c>
      <c r="G43" s="4"/>
      <c r="H43" s="4" t="str">
        <f>IF(OR(F40="",G40=""),"",F40*G40)</f>
        <v/>
      </c>
    </row>
    <row r="44" spans="1:8" x14ac:dyDescent="0.25">
      <c r="A44" s="2" t="s">
        <v>123</v>
      </c>
      <c r="B44" s="2" t="s">
        <v>130</v>
      </c>
      <c r="C44" s="2" t="s">
        <v>130</v>
      </c>
      <c r="D44" s="2" t="s">
        <v>131</v>
      </c>
      <c r="E44" s="2" t="s">
        <v>132</v>
      </c>
      <c r="F44" s="3">
        <v>1</v>
      </c>
      <c r="G44" s="4"/>
      <c r="H44" s="4" t="str">
        <f>IF(OR(F41="",G41=""),"",F41*G41)</f>
        <v/>
      </c>
    </row>
    <row r="45" spans="1:8" x14ac:dyDescent="0.25">
      <c r="A45" s="2" t="s">
        <v>123</v>
      </c>
      <c r="B45" s="2" t="s">
        <v>133</v>
      </c>
      <c r="C45" s="2" t="s">
        <v>133</v>
      </c>
      <c r="D45" s="2" t="s">
        <v>134</v>
      </c>
      <c r="E45" s="2" t="s">
        <v>132</v>
      </c>
      <c r="F45" s="3">
        <v>1</v>
      </c>
      <c r="G45" s="4"/>
      <c r="H45" s="4" t="str">
        <f>IF(OR(F42="",G42=""),"",F42*G42)</f>
        <v/>
      </c>
    </row>
    <row r="46" spans="1:8" x14ac:dyDescent="0.25">
      <c r="A46" s="2" t="s">
        <v>123</v>
      </c>
      <c r="B46" s="2" t="s">
        <v>135</v>
      </c>
      <c r="C46" s="2" t="s">
        <v>135</v>
      </c>
      <c r="D46" s="2" t="s">
        <v>136</v>
      </c>
      <c r="E46" s="2" t="s">
        <v>137</v>
      </c>
      <c r="F46" s="3">
        <v>1</v>
      </c>
      <c r="G46" s="4"/>
      <c r="H46" s="4" t="str">
        <f>IF(OR(F43="",G43=""),"",F43*G43)</f>
        <v/>
      </c>
    </row>
    <row r="47" spans="1:8" x14ac:dyDescent="0.25">
      <c r="A47" s="2" t="s">
        <v>138</v>
      </c>
      <c r="B47" s="2" t="s">
        <v>139</v>
      </c>
      <c r="C47" s="2" t="s">
        <v>139</v>
      </c>
      <c r="D47" s="2" t="s">
        <v>140</v>
      </c>
      <c r="E47" s="2" t="s">
        <v>141</v>
      </c>
      <c r="F47" s="3">
        <v>1</v>
      </c>
      <c r="G47" s="4"/>
      <c r="H47" s="4" t="str">
        <f>IF(OR(F44="",G44=""),"",F44*G44)</f>
        <v/>
      </c>
    </row>
    <row r="48" spans="1:8" x14ac:dyDescent="0.25">
      <c r="A48" s="5" t="s">
        <v>142</v>
      </c>
      <c r="B48" s="6"/>
      <c r="C48" s="6"/>
      <c r="D48" s="6"/>
      <c r="E48" s="6"/>
      <c r="F48" s="6"/>
      <c r="G48" s="6"/>
      <c r="H48" s="7">
        <f>SUM(H2:H47)</f>
        <v>9200</v>
      </c>
    </row>
  </sheetData>
  <autoFilter ref="A1:H48" xr:uid="{00000000-0009-0000-0000-000000000000}"/>
  <conditionalFormatting sqref="G2:G47">
    <cfRule type="expression" dxfId="0" priority="1">
      <formula>G2=""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18" customWidth="1"/>
    <col min="4" max="4" width="24" customWidth="1"/>
  </cols>
  <sheetData>
    <row r="1" spans="1:4" x14ac:dyDescent="0.25">
      <c r="A1" s="8" t="s">
        <v>0</v>
      </c>
      <c r="B1" s="8" t="s">
        <v>143</v>
      </c>
      <c r="C1" s="8" t="s">
        <v>144</v>
      </c>
      <c r="D1" s="8" t="s">
        <v>145</v>
      </c>
    </row>
    <row r="2" spans="1:4" x14ac:dyDescent="0.25">
      <c r="A2" t="s">
        <v>8</v>
      </c>
      <c r="B2">
        <f>COUNTIF(BOM!A2:A47,A2)</f>
        <v>1</v>
      </c>
      <c r="C2">
        <f>SUMIF(BOM!A2:A47,A2,BOM!F2:F47)</f>
        <v>1</v>
      </c>
      <c r="D2" s="9">
        <f>SUMIF(BOM!A2:A47,A2,BOM!H2:H47)</f>
        <v>600</v>
      </c>
    </row>
    <row r="3" spans="1:4" x14ac:dyDescent="0.25">
      <c r="A3" t="s">
        <v>11</v>
      </c>
      <c r="B3">
        <f>COUNTIF(BOM!A2:A47,A3)</f>
        <v>10</v>
      </c>
      <c r="C3">
        <f>SUMIF(BOM!A2:A47,A3,BOM!F2:F47)</f>
        <v>21</v>
      </c>
      <c r="D3" s="9">
        <f>SUMIF(BOM!A2:A47,A3,BOM!H2:H47)</f>
        <v>5700</v>
      </c>
    </row>
    <row r="4" spans="1:4" x14ac:dyDescent="0.25">
      <c r="A4" t="s">
        <v>61</v>
      </c>
      <c r="B4">
        <f>COUNTIF(BOM!A2:A47,A4)</f>
        <v>8</v>
      </c>
      <c r="C4">
        <f>SUMIF(BOM!A2:A47,A4,BOM!F2:F47)</f>
        <v>9</v>
      </c>
      <c r="D4" s="9">
        <f>SUMIF(BOM!A2:A47,A4,BOM!H2:H47)</f>
        <v>1250</v>
      </c>
    </row>
    <row r="5" spans="1:4" x14ac:dyDescent="0.25">
      <c r="A5" t="s">
        <v>138</v>
      </c>
      <c r="B5">
        <f>COUNTIF(BOM!A2:A47,A5)</f>
        <v>1</v>
      </c>
      <c r="C5">
        <f>SUMIF(BOM!A2:A47,A5,BOM!F2:F47)</f>
        <v>1</v>
      </c>
      <c r="D5" s="9">
        <f>SUMIF(BOM!A2:A47,A5,BOM!H2:H47)</f>
        <v>0</v>
      </c>
    </row>
    <row r="6" spans="1:4" x14ac:dyDescent="0.25">
      <c r="A6" t="s">
        <v>40</v>
      </c>
      <c r="B6">
        <f>COUNTIF(BOM!A2:A47,A6)</f>
        <v>2</v>
      </c>
      <c r="C6">
        <f>SUMIF(BOM!A2:A47,A6,BOM!F2:F47)</f>
        <v>3</v>
      </c>
      <c r="D6" s="9">
        <f>SUMIF(BOM!A2:A47,A6,BOM!H2:H47)</f>
        <v>150</v>
      </c>
    </row>
    <row r="7" spans="1:4" x14ac:dyDescent="0.25">
      <c r="A7" t="s">
        <v>123</v>
      </c>
      <c r="B7">
        <f>COUNTIF(BOM!A2:A47,A7)</f>
        <v>5</v>
      </c>
      <c r="C7">
        <f>SUMIF(BOM!A2:A47,A7,BOM!F2:F47)</f>
        <v>5</v>
      </c>
      <c r="D7" s="9">
        <f>SUMIF(BOM!A2:A47,A7,BOM!H2:H47)</f>
        <v>0</v>
      </c>
    </row>
    <row r="8" spans="1:4" x14ac:dyDescent="0.25">
      <c r="A8" t="s">
        <v>87</v>
      </c>
      <c r="B8">
        <f>COUNTIF(BOM!A2:A47,A8)</f>
        <v>1</v>
      </c>
      <c r="C8">
        <f>SUMIF(BOM!A2:A47,A8,BOM!F2:F47)</f>
        <v>2</v>
      </c>
      <c r="D8" s="9">
        <f>SUMIF(BOM!A2:A47,A8,BOM!H2:H47)</f>
        <v>0</v>
      </c>
    </row>
    <row r="9" spans="1:4" x14ac:dyDescent="0.25">
      <c r="A9" t="s">
        <v>91</v>
      </c>
      <c r="B9">
        <f>COUNTIF(BOM!A2:A47,A9)</f>
        <v>1</v>
      </c>
      <c r="C9">
        <f>SUMIF(BOM!A2:A47,A9,BOM!F2:F47)</f>
        <v>2</v>
      </c>
      <c r="D9" s="9">
        <f>SUMIF(BOM!A2:A47,A9,BOM!H2:H47)</f>
        <v>0</v>
      </c>
    </row>
    <row r="10" spans="1:4" x14ac:dyDescent="0.25">
      <c r="A10" t="s">
        <v>83</v>
      </c>
      <c r="B10">
        <f>COUNTIF(BOM!A2:A47,A10)</f>
        <v>1</v>
      </c>
      <c r="C10">
        <f>SUMIF(BOM!A2:A47,A10,BOM!F2:F47)</f>
        <v>1</v>
      </c>
      <c r="D10" s="9">
        <f>SUMIF(BOM!A2:A47,A10,BOM!H2:H47)</f>
        <v>0</v>
      </c>
    </row>
    <row r="11" spans="1:4" x14ac:dyDescent="0.25">
      <c r="A11" t="s">
        <v>99</v>
      </c>
      <c r="B11">
        <f>COUNTIF(BOM!A2:A47,A11)</f>
        <v>4</v>
      </c>
      <c r="C11">
        <f>SUMIF(BOM!A2:A47,A11,BOM!F2:F47)</f>
        <v>13</v>
      </c>
      <c r="D11" s="9">
        <f>SUMIF(BOM!A2:A47,A11,BOM!H2:H47)</f>
        <v>0</v>
      </c>
    </row>
    <row r="12" spans="1:4" x14ac:dyDescent="0.25">
      <c r="A12" t="s">
        <v>120</v>
      </c>
      <c r="B12">
        <f>COUNTIF(BOM!A2:A47,A12)</f>
        <v>1</v>
      </c>
      <c r="C12">
        <f>SUMIF(BOM!A2:A47,A12,BOM!F2:F47)</f>
        <v>1</v>
      </c>
      <c r="D12" s="9">
        <f>SUMIF(BOM!A2:A47,A12,BOM!H2:H47)</f>
        <v>0</v>
      </c>
    </row>
    <row r="13" spans="1:4" x14ac:dyDescent="0.25">
      <c r="A13" t="s">
        <v>111</v>
      </c>
      <c r="B13">
        <f>COUNTIF(BOM!A2:A47,A13)</f>
        <v>3</v>
      </c>
      <c r="C13">
        <f>SUMIF(BOM!A2:A47,A13,BOM!F2:F47)</f>
        <v>3</v>
      </c>
      <c r="D13" s="9">
        <f>SUMIF(BOM!A2:A47,A13,BOM!H2:H47)</f>
        <v>0</v>
      </c>
    </row>
    <row r="14" spans="1:4" x14ac:dyDescent="0.25">
      <c r="A14" t="s">
        <v>95</v>
      </c>
      <c r="B14">
        <f>COUNTIF(BOM!A2:A47,A14)</f>
        <v>1</v>
      </c>
      <c r="C14">
        <f>SUMIF(BOM!A2:A47,A14,BOM!F2:F47)</f>
        <v>1</v>
      </c>
      <c r="D14" s="9">
        <f>SUMIF(BOM!A2:A47,A14,BOM!H2:H47)</f>
        <v>0</v>
      </c>
    </row>
    <row r="15" spans="1:4" x14ac:dyDescent="0.25">
      <c r="A15" s="10" t="s">
        <v>142</v>
      </c>
      <c r="B15" s="10">
        <f>SUM(B2:B14)</f>
        <v>39</v>
      </c>
      <c r="C15" s="10">
        <f>SUM(C2:C14)</f>
        <v>63</v>
      </c>
      <c r="D15" s="11">
        <f>SUM(D2:D14)</f>
        <v>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Egbe</cp:lastModifiedBy>
  <dcterms:created xsi:type="dcterms:W3CDTF">2026-09-07T15:23:06Z</dcterms:created>
  <dcterms:modified xsi:type="dcterms:W3CDTF">2026-09-07T16:07:41Z</dcterms:modified>
</cp:coreProperties>
</file>